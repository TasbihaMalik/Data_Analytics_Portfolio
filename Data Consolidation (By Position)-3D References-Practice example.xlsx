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Tasbiha Work\Week 1 Material\"/>
    </mc:Choice>
  </mc:AlternateContent>
  <xr:revisionPtr revIDLastSave="0" documentId="8_{52295701-F7C6-4102-AB9E-019CB962892B}" xr6:coauthVersionLast="47" xr6:coauthVersionMax="47" xr10:uidLastSave="{00000000-0000-0000-0000-000000000000}"/>
  <bookViews>
    <workbookView xWindow="-120" yWindow="-120" windowWidth="20730" windowHeight="11160" xr2:uid="{D1E55637-6FBF-48EE-9E98-78B1C9856899}"/>
  </bookViews>
  <sheets>
    <sheet name="3-DReference" sheetId="1" r:id="rId1"/>
    <sheet name="Store(1)" sheetId="2" r:id="rId2"/>
    <sheet name="Store(2)" sheetId="3" r:id="rId3"/>
    <sheet name="Store(3)" sheetId="4" r:id="rId4"/>
    <sheet name="Store(4)" sheetId="5" r:id="rId5"/>
    <sheet name="Store(5)" sheetId="6" r:id="rId6"/>
  </sheets>
  <externalReferences>
    <externalReference r:id="rId7"/>
    <externalReference r:id="rId8"/>
  </externalReferences>
  <definedNames>
    <definedName name="BoomLookup">'[1]VLOOKUP(2)'!$A$42:$D$47</definedName>
    <definedName name="CommLookupTable">'[1]Assumption Sheet'!$A$9:$B$12</definedName>
    <definedName name="RateIncreaseData">[1]Assumptions!$A$3:$E$8</definedName>
    <definedName name="s">'[2]Y(203)-SUMIF'!$C$14:$C$24</definedName>
    <definedName name="sr">'[2]Y(203)-SUMIF'!$B$14:$B$24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F9" i="1" s="1"/>
  <c r="G3" i="1"/>
  <c r="H3" i="1"/>
  <c r="I3" i="1"/>
  <c r="J3" i="1"/>
  <c r="J9" i="1" s="1"/>
  <c r="K3" i="1"/>
  <c r="L3" i="1"/>
  <c r="M3" i="1"/>
  <c r="C4" i="1"/>
  <c r="C9" i="1" s="1"/>
  <c r="D4" i="1"/>
  <c r="E4" i="1"/>
  <c r="F4" i="1"/>
  <c r="G4" i="1"/>
  <c r="G9" i="1" s="1"/>
  <c r="H4" i="1"/>
  <c r="I4" i="1"/>
  <c r="J4" i="1"/>
  <c r="K4" i="1"/>
  <c r="K9" i="1" s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E9" i="1" s="1"/>
  <c r="F6" i="1"/>
  <c r="G6" i="1"/>
  <c r="H6" i="1"/>
  <c r="I6" i="1"/>
  <c r="I9" i="1" s="1"/>
  <c r="J6" i="1"/>
  <c r="K6" i="1"/>
  <c r="L6" i="1"/>
  <c r="M6" i="1"/>
  <c r="M9" i="1" s="1"/>
  <c r="C7" i="1"/>
  <c r="D7" i="1"/>
  <c r="E7" i="1"/>
  <c r="F7" i="1"/>
  <c r="G7" i="1"/>
  <c r="H7" i="1"/>
  <c r="I7" i="1"/>
  <c r="J7" i="1"/>
  <c r="K7" i="1"/>
  <c r="L7" i="1"/>
  <c r="M7" i="1"/>
  <c r="C8" i="1"/>
  <c r="N8" i="1" s="1"/>
  <c r="D8" i="1"/>
  <c r="E8" i="1"/>
  <c r="F8" i="1"/>
  <c r="G8" i="1"/>
  <c r="H8" i="1"/>
  <c r="I8" i="1"/>
  <c r="J8" i="1"/>
  <c r="K8" i="1"/>
  <c r="L8" i="1"/>
  <c r="M8" i="1"/>
  <c r="B4" i="1"/>
  <c r="B5" i="1"/>
  <c r="B6" i="1"/>
  <c r="B7" i="1"/>
  <c r="B8" i="1"/>
  <c r="B3" i="1"/>
  <c r="N3" i="1" s="1"/>
  <c r="M9" i="6"/>
  <c r="L9" i="6"/>
  <c r="K9" i="6"/>
  <c r="J9" i="6"/>
  <c r="I9" i="6"/>
  <c r="H9" i="6"/>
  <c r="G9" i="6"/>
  <c r="F9" i="6"/>
  <c r="N9" i="6" s="1"/>
  <c r="E9" i="6"/>
  <c r="D9" i="6"/>
  <c r="C9" i="6"/>
  <c r="B9" i="6"/>
  <c r="N8" i="6"/>
  <c r="N7" i="6"/>
  <c r="N6" i="6"/>
  <c r="N5" i="6"/>
  <c r="N4" i="6"/>
  <c r="N3" i="6"/>
  <c r="M9" i="5"/>
  <c r="L9" i="5"/>
  <c r="K9" i="5"/>
  <c r="J9" i="5"/>
  <c r="I9" i="5"/>
  <c r="N9" i="5" s="1"/>
  <c r="H9" i="5"/>
  <c r="G9" i="5"/>
  <c r="F9" i="5"/>
  <c r="E9" i="5"/>
  <c r="D9" i="5"/>
  <c r="C9" i="5"/>
  <c r="B9" i="5"/>
  <c r="N8" i="5"/>
  <c r="N7" i="5"/>
  <c r="N6" i="5"/>
  <c r="N5" i="5"/>
  <c r="N4" i="5"/>
  <c r="N3" i="5"/>
  <c r="M9" i="4"/>
  <c r="L9" i="4"/>
  <c r="K9" i="4"/>
  <c r="J9" i="4"/>
  <c r="I9" i="4"/>
  <c r="H9" i="4"/>
  <c r="G9" i="4"/>
  <c r="F9" i="4"/>
  <c r="E9" i="4"/>
  <c r="D9" i="4"/>
  <c r="C9" i="4"/>
  <c r="B9" i="4"/>
  <c r="N9" i="4" s="1"/>
  <c r="N8" i="4"/>
  <c r="N7" i="4"/>
  <c r="N6" i="4"/>
  <c r="N5" i="4"/>
  <c r="N4" i="4"/>
  <c r="N3" i="4"/>
  <c r="M9" i="3"/>
  <c r="L9" i="3"/>
  <c r="K9" i="3"/>
  <c r="J9" i="3"/>
  <c r="I9" i="3"/>
  <c r="H9" i="3"/>
  <c r="G9" i="3"/>
  <c r="N9" i="3" s="1"/>
  <c r="F9" i="3"/>
  <c r="E9" i="3"/>
  <c r="D9" i="3"/>
  <c r="C9" i="3"/>
  <c r="B9" i="3"/>
  <c r="N8" i="3"/>
  <c r="N7" i="3"/>
  <c r="N6" i="3"/>
  <c r="N5" i="3"/>
  <c r="N4" i="3"/>
  <c r="N3" i="3"/>
  <c r="M9" i="2"/>
  <c r="L9" i="2"/>
  <c r="K9" i="2"/>
  <c r="J9" i="2"/>
  <c r="I9" i="2"/>
  <c r="H9" i="2"/>
  <c r="G9" i="2"/>
  <c r="F9" i="2"/>
  <c r="E9" i="2"/>
  <c r="D9" i="2"/>
  <c r="C9" i="2"/>
  <c r="B9" i="2"/>
  <c r="N9" i="2" s="1"/>
  <c r="N8" i="2"/>
  <c r="N7" i="2"/>
  <c r="N6" i="2"/>
  <c r="N5" i="2"/>
  <c r="N4" i="2"/>
  <c r="N3" i="2"/>
  <c r="L9" i="1"/>
  <c r="H9" i="1"/>
  <c r="D9" i="1"/>
  <c r="N5" i="1"/>
  <c r="N6" i="1" l="1"/>
  <c r="N7" i="1"/>
  <c r="N4" i="1"/>
  <c r="B9" i="1"/>
  <c r="N9" i="1" s="1"/>
</calcChain>
</file>

<file path=xl/sharedStrings.xml><?xml version="1.0" encoding="utf-8"?>
<sst xmlns="http://schemas.openxmlformats.org/spreadsheetml/2006/main" count="135" uniqueCount="25">
  <si>
    <t>Into The Wind Kites Sum of Units Sold</t>
  </si>
  <si>
    <t>Product/Month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</si>
  <si>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</si>
  <si>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</si>
  <si>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</si>
  <si>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</si>
  <si>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</si>
  <si>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</si>
  <si>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</si>
  <si>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</si>
  <si>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</si>
  <si>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</si>
  <si>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</si>
  <si>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</si>
  <si>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</si>
  <si>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Carlota</t>
  </si>
  <si>
    <t>Yanaki</t>
  </si>
  <si>
    <t>Aspen</t>
  </si>
  <si>
    <t>Sunset</t>
  </si>
  <si>
    <t>Delicate Arch</t>
  </si>
  <si>
    <t>Bellen</t>
  </si>
  <si>
    <t>Into The Wind Kites Units Sold</t>
  </si>
  <si>
    <t>Key Learning:</t>
  </si>
  <si>
    <t>Consolidation by Position</t>
  </si>
  <si>
    <t>Consolidation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</si>
</sst>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wrapText="1"/>
    </xf>
    <xf numFmtId="0" fontId="2" fillId="3" borderId="1" xfId="0" applyFont="1" applyFill="1" applyBorder="1"/>
    <xf numFmtId="0" fontId="0" fillId="4" borderId="1" xfId="0" applyFill="1" applyBorder="1"/>
    <xf numFmtId="0" fontId="3" fillId="0" borderId="1" xfId="0" applyFont="1" applyBorder="1"/>
    <xf numFmtId="0" fontId="2" fillId="3" borderId="2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Trainings/Microsoft%20Office%20Courses/Excel%20-%20Trainings/excelisfun/Week2Busn214Finish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Trainings/Microsoft%20Office%20Courses/Excel%20-%20Trainings/excelisfun/Week2Busn2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Assumption Sheet"/>
      <sheetName val="WorksheetWorkbookR"/>
      <sheetName val="VLOOKUP(1)"/>
      <sheetName val="VLOOKUP(2)"/>
      <sheetName val="3-DReference"/>
      <sheetName val="Store(1)"/>
      <sheetName val="Store(2)"/>
      <sheetName val="Store(3)"/>
      <sheetName val="Store(4)"/>
      <sheetName val="Store(5)"/>
      <sheetName val="RawData"/>
      <sheetName val="SUMIF"/>
      <sheetName val="Y(203)-SUMIF"/>
      <sheetName val="Assumptions"/>
      <sheetName val="% Increase"/>
      <sheetName val="LOGIC IS IF"/>
      <sheetName val="Dates"/>
      <sheetName val="Text"/>
      <sheetName val="Concatenate"/>
    </sheetNames>
    <sheetDataSet>
      <sheetData sheetId="0"/>
      <sheetData sheetId="1">
        <row r="9">
          <cell r="A9">
            <v>0</v>
          </cell>
          <cell r="B9">
            <v>0</v>
          </cell>
        </row>
        <row r="10">
          <cell r="A10">
            <v>1500</v>
          </cell>
          <cell r="B10">
            <v>0.05</v>
          </cell>
        </row>
        <row r="11">
          <cell r="A11">
            <v>5000</v>
          </cell>
          <cell r="B11">
            <v>6.5000000000000002E-2</v>
          </cell>
        </row>
        <row r="12">
          <cell r="A12">
            <v>6000</v>
          </cell>
          <cell r="B12">
            <v>7.5499999999999998E-2</v>
          </cell>
        </row>
      </sheetData>
      <sheetData sheetId="2"/>
      <sheetData sheetId="3"/>
      <sheetData sheetId="4">
        <row r="42">
          <cell r="A42" t="str">
            <v>Boom 1</v>
          </cell>
          <cell r="B42" t="str">
            <v>20 Meter Boomerang</v>
          </cell>
          <cell r="C42">
            <v>19</v>
          </cell>
          <cell r="D42">
            <v>14</v>
          </cell>
        </row>
        <row r="43">
          <cell r="A43" t="str">
            <v>Boom 2</v>
          </cell>
          <cell r="B43" t="str">
            <v>25 Meter Boomerang</v>
          </cell>
          <cell r="C43">
            <v>15</v>
          </cell>
          <cell r="D43">
            <v>9</v>
          </cell>
        </row>
        <row r="44">
          <cell r="A44" t="str">
            <v>Boom 3</v>
          </cell>
          <cell r="B44" t="str">
            <v>30 Meter Boomerang</v>
          </cell>
          <cell r="C44">
            <v>12</v>
          </cell>
          <cell r="D44">
            <v>7</v>
          </cell>
        </row>
        <row r="45">
          <cell r="A45" t="str">
            <v>Boom 4</v>
          </cell>
          <cell r="B45" t="str">
            <v>40 Meter Boomerang</v>
          </cell>
          <cell r="C45">
            <v>23</v>
          </cell>
          <cell r="D45">
            <v>12</v>
          </cell>
        </row>
        <row r="46">
          <cell r="A46" t="str">
            <v>Boom 5</v>
          </cell>
          <cell r="B46" t="str">
            <v>50 Meter Boomerang</v>
          </cell>
          <cell r="C46">
            <v>30</v>
          </cell>
          <cell r="D46">
            <v>17</v>
          </cell>
        </row>
        <row r="47">
          <cell r="A47" t="str">
            <v>Boom 6</v>
          </cell>
          <cell r="B47" t="str">
            <v>60 Meter Boomerang</v>
          </cell>
          <cell r="C47">
            <v>25</v>
          </cell>
          <cell r="D47">
            <v>14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3" t="str">
            <v>Carlota</v>
          </cell>
          <cell r="B3">
            <v>0.12</v>
          </cell>
          <cell r="C3">
            <v>0.13999999999999999</v>
          </cell>
          <cell r="D3">
            <v>0.16999999999999998</v>
          </cell>
          <cell r="E3">
            <v>0.19999999999999998</v>
          </cell>
        </row>
        <row r="4">
          <cell r="A4" t="str">
            <v>Yanaki</v>
          </cell>
          <cell r="B4">
            <v>0.1</v>
          </cell>
          <cell r="C4">
            <v>0.13</v>
          </cell>
          <cell r="D4">
            <v>0.16</v>
          </cell>
          <cell r="E4">
            <v>0.18</v>
          </cell>
        </row>
        <row r="5">
          <cell r="A5" t="str">
            <v>Aspen</v>
          </cell>
          <cell r="B5">
            <v>0.04</v>
          </cell>
          <cell r="C5">
            <v>0.06</v>
          </cell>
          <cell r="D5">
            <v>0.09</v>
          </cell>
          <cell r="E5">
            <v>0.11</v>
          </cell>
        </row>
        <row r="6">
          <cell r="A6" t="str">
            <v>Sunset</v>
          </cell>
          <cell r="B6">
            <v>0.03</v>
          </cell>
          <cell r="C6">
            <v>0.05</v>
          </cell>
          <cell r="D6">
            <v>7.0000000000000007E-2</v>
          </cell>
          <cell r="E6">
            <v>0.1</v>
          </cell>
        </row>
        <row r="7">
          <cell r="A7" t="str">
            <v>Delicate Arch</v>
          </cell>
          <cell r="B7">
            <v>0.03</v>
          </cell>
          <cell r="C7">
            <v>0.05</v>
          </cell>
          <cell r="D7">
            <v>0.08</v>
          </cell>
          <cell r="E7">
            <v>0.11</v>
          </cell>
        </row>
        <row r="8">
          <cell r="A8" t="str">
            <v>Bellen</v>
          </cell>
          <cell r="B8">
            <v>0.03</v>
          </cell>
          <cell r="C8">
            <v>0.06</v>
          </cell>
          <cell r="D8">
            <v>0.08</v>
          </cell>
          <cell r="E8">
            <v>0.1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Assumption Sheet"/>
      <sheetName val="WorksheetWorkbookR"/>
      <sheetName val="VLOOKUP(1)"/>
      <sheetName val="VLOOKUP(2)"/>
      <sheetName val="3-DReference"/>
      <sheetName val="Store(1)"/>
      <sheetName val="Store(2)"/>
      <sheetName val="Store(3)"/>
      <sheetName val="Store(4)"/>
      <sheetName val="Store(5)"/>
      <sheetName val="RawData"/>
      <sheetName val="SUMIF"/>
      <sheetName val="Y(203)-SUMIF"/>
      <sheetName val="Assumptions"/>
      <sheetName val="% Increase"/>
      <sheetName val="LOGIC IS IF"/>
      <sheetName val="Dates"/>
      <sheetName val="Text"/>
      <sheetName val="Concaten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">
          <cell r="B14" t="str">
            <v>Sioux</v>
          </cell>
          <cell r="C14">
            <v>18</v>
          </cell>
        </row>
        <row r="15">
          <cell r="B15" t="str">
            <v>Shelia</v>
          </cell>
          <cell r="C15">
            <v>14</v>
          </cell>
        </row>
        <row r="16">
          <cell r="C16">
            <v>26</v>
          </cell>
        </row>
        <row r="17">
          <cell r="B17" t="str">
            <v>Chin</v>
          </cell>
          <cell r="C17">
            <v>20</v>
          </cell>
        </row>
        <row r="18">
          <cell r="B18" t="str">
            <v>Pham</v>
          </cell>
          <cell r="C18">
            <v>11</v>
          </cell>
        </row>
        <row r="19">
          <cell r="B19" t="str">
            <v>Sioux</v>
          </cell>
          <cell r="C19">
            <v>22</v>
          </cell>
        </row>
        <row r="20">
          <cell r="B20" t="str">
            <v>Shelia</v>
          </cell>
          <cell r="C20">
            <v>20</v>
          </cell>
        </row>
        <row r="21">
          <cell r="B21" t="str">
            <v>Rob</v>
          </cell>
          <cell r="C21">
            <v>15</v>
          </cell>
        </row>
        <row r="22">
          <cell r="B22" t="str">
            <v>Fred</v>
          </cell>
          <cell r="C22">
            <v>23</v>
          </cell>
        </row>
        <row r="23">
          <cell r="C23">
            <v>14</v>
          </cell>
        </row>
        <row r="24">
          <cell r="B24" t="str">
            <v>Sioux</v>
          </cell>
          <cell r="C24">
            <v>14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21DA-92AD-4903-9E8A-81266DDB8B3C}">
  <sheetPr>
    <tabColor rgb="FF0000FF"/>
  </sheetPr>
  <dimension ref="A1:N15"/>
  <sheetViews>
    <sheetView tabSelected="1" zoomScale="130" zoomScaleNormal="130" workbookViewId="0">
      <selection activeCell="I14" sqref="I14"/>
    </sheetView>
  </sheetViews>
  <sheetFormatPr defaultColWidth="9.140625" defaultRowHeight="15" x14ac:dyDescent="0.25"/>
  <cols>
    <col min="1" max="1" width="20.42578125" bestFit="1" customWidth="1"/>
    <col min="14" max="14" width="8.425781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7.25" x14ac:dyDescent="0.4">
      <c r="A3" s="2" t="s">
        <v>15</v>
      </c>
      <c r="B3" s="3">
        <f>SUM('Store(1):Store(5)'!B3)</f>
        <v>71</v>
      </c>
      <c r="C3" s="3">
        <f>SUM('Store(1):Store(5)'!C3)</f>
        <v>158</v>
      </c>
      <c r="D3" s="3">
        <f>SUM('Store(1):Store(5)'!D3)</f>
        <v>114</v>
      </c>
      <c r="E3" s="3">
        <f>SUM('Store(1):Store(5)'!E3)</f>
        <v>96</v>
      </c>
      <c r="F3" s="3">
        <f>SUM('Store(1):Store(5)'!F3)</f>
        <v>142</v>
      </c>
      <c r="G3" s="3">
        <f>SUM('Store(1):Store(5)'!G3)</f>
        <v>62</v>
      </c>
      <c r="H3" s="3">
        <f>SUM('Store(1):Store(5)'!H3)</f>
        <v>112</v>
      </c>
      <c r="I3" s="3">
        <f>SUM('Store(1):Store(5)'!I3)</f>
        <v>103</v>
      </c>
      <c r="J3" s="3">
        <f>SUM('Store(1):Store(5)'!J3)</f>
        <v>114</v>
      </c>
      <c r="K3" s="3">
        <f>SUM('Store(1):Store(5)'!K3)</f>
        <v>140</v>
      </c>
      <c r="L3" s="3">
        <f>SUM('Store(1):Store(5)'!L3)</f>
        <v>115</v>
      </c>
      <c r="M3" s="3">
        <f>SUM('Store(1):Store(5)'!M3)</f>
        <v>115</v>
      </c>
      <c r="N3" s="4">
        <f t="shared" ref="N3:N9" si="0">SUM(B3:M3)</f>
        <v>1342</v>
      </c>
    </row>
    <row r="4" spans="1:14" ht="17.25" x14ac:dyDescent="0.4">
      <c r="A4" s="2" t="s">
        <v>16</v>
      </c>
      <c r="B4" s="3">
        <f>SUM('Store(1):Store(5)'!B4)</f>
        <v>109</v>
      </c>
      <c r="C4" s="3">
        <f>SUM('Store(1):Store(5)'!C4)</f>
        <v>161</v>
      </c>
      <c r="D4" s="3">
        <f>SUM('Store(1):Store(5)'!D4)</f>
        <v>147</v>
      </c>
      <c r="E4" s="3">
        <f>SUM('Store(1):Store(5)'!E4)</f>
        <v>79</v>
      </c>
      <c r="F4" s="3">
        <f>SUM('Store(1):Store(5)'!F4)</f>
        <v>97</v>
      </c>
      <c r="G4" s="3">
        <f>SUM('Store(1):Store(5)'!G4)</f>
        <v>109</v>
      </c>
      <c r="H4" s="3">
        <f>SUM('Store(1):Store(5)'!H4)</f>
        <v>184</v>
      </c>
      <c r="I4" s="3">
        <f>SUM('Store(1):Store(5)'!I4)</f>
        <v>114</v>
      </c>
      <c r="J4" s="3">
        <f>SUM('Store(1):Store(5)'!J4)</f>
        <v>110</v>
      </c>
      <c r="K4" s="3">
        <f>SUM('Store(1):Store(5)'!K4)</f>
        <v>168</v>
      </c>
      <c r="L4" s="3">
        <f>SUM('Store(1):Store(5)'!L4)</f>
        <v>146</v>
      </c>
      <c r="M4" s="3">
        <f>SUM('Store(1):Store(5)'!M4)</f>
        <v>132</v>
      </c>
      <c r="N4" s="4">
        <f t="shared" si="0"/>
        <v>1556</v>
      </c>
    </row>
    <row r="5" spans="1:14" ht="17.25" x14ac:dyDescent="0.4">
      <c r="A5" s="2" t="s">
        <v>17</v>
      </c>
      <c r="B5" s="3">
        <f>SUM('Store(1):Store(5)'!B5)</f>
        <v>143</v>
      </c>
      <c r="C5" s="3">
        <f>SUM('Store(1):Store(5)'!C5)</f>
        <v>181</v>
      </c>
      <c r="D5" s="3">
        <f>SUM('Store(1):Store(5)'!D5)</f>
        <v>96</v>
      </c>
      <c r="E5" s="3">
        <f>SUM('Store(1):Store(5)'!E5)</f>
        <v>138</v>
      </c>
      <c r="F5" s="3">
        <f>SUM('Store(1):Store(5)'!F5)</f>
        <v>115</v>
      </c>
      <c r="G5" s="3">
        <f>SUM('Store(1):Store(5)'!G5)</f>
        <v>88</v>
      </c>
      <c r="H5" s="3">
        <f>SUM('Store(1):Store(5)'!H5)</f>
        <v>111</v>
      </c>
      <c r="I5" s="3">
        <f>SUM('Store(1):Store(5)'!I5)</f>
        <v>155</v>
      </c>
      <c r="J5" s="3">
        <f>SUM('Store(1):Store(5)'!J5)</f>
        <v>135</v>
      </c>
      <c r="K5" s="3">
        <f>SUM('Store(1):Store(5)'!K5)</f>
        <v>179</v>
      </c>
      <c r="L5" s="3">
        <f>SUM('Store(1):Store(5)'!L5)</f>
        <v>156</v>
      </c>
      <c r="M5" s="3">
        <f>SUM('Store(1):Store(5)'!M5)</f>
        <v>89</v>
      </c>
      <c r="N5" s="4">
        <f t="shared" si="0"/>
        <v>1586</v>
      </c>
    </row>
    <row r="6" spans="1:14" ht="17.25" x14ac:dyDescent="0.4">
      <c r="A6" s="2" t="s">
        <v>18</v>
      </c>
      <c r="B6" s="3">
        <f>SUM('Store(1):Store(5)'!B6)</f>
        <v>136</v>
      </c>
      <c r="C6" s="3">
        <f>SUM('Store(1):Store(5)'!C6)</f>
        <v>155</v>
      </c>
      <c r="D6" s="3">
        <f>SUM('Store(1):Store(5)'!D6)</f>
        <v>89</v>
      </c>
      <c r="E6" s="3">
        <f>SUM('Store(1):Store(5)'!E6)</f>
        <v>120</v>
      </c>
      <c r="F6" s="3">
        <f>SUM('Store(1):Store(5)'!F6)</f>
        <v>98</v>
      </c>
      <c r="G6" s="3">
        <f>SUM('Store(1):Store(5)'!G6)</f>
        <v>49</v>
      </c>
      <c r="H6" s="3">
        <f>SUM('Store(1):Store(5)'!H6)</f>
        <v>106</v>
      </c>
      <c r="I6" s="3">
        <f>SUM('Store(1):Store(5)'!I6)</f>
        <v>120</v>
      </c>
      <c r="J6" s="3">
        <f>SUM('Store(1):Store(5)'!J6)</f>
        <v>112</v>
      </c>
      <c r="K6" s="3">
        <f>SUM('Store(1):Store(5)'!K6)</f>
        <v>171</v>
      </c>
      <c r="L6" s="3">
        <f>SUM('Store(1):Store(5)'!L6)</f>
        <v>130</v>
      </c>
      <c r="M6" s="3">
        <f>SUM('Store(1):Store(5)'!M6)</f>
        <v>101</v>
      </c>
      <c r="N6" s="4">
        <f t="shared" si="0"/>
        <v>1387</v>
      </c>
    </row>
    <row r="7" spans="1:14" ht="17.25" x14ac:dyDescent="0.4">
      <c r="A7" s="2" t="s">
        <v>19</v>
      </c>
      <c r="B7" s="3">
        <f>SUM('Store(1):Store(5)'!B7)</f>
        <v>171</v>
      </c>
      <c r="C7" s="3">
        <f>SUM('Store(1):Store(5)'!C7)</f>
        <v>96</v>
      </c>
      <c r="D7" s="3">
        <f>SUM('Store(1):Store(5)'!D7)</f>
        <v>113</v>
      </c>
      <c r="E7" s="3">
        <f>SUM('Store(1):Store(5)'!E7)</f>
        <v>123</v>
      </c>
      <c r="F7" s="3">
        <f>SUM('Store(1):Store(5)'!F7)</f>
        <v>93</v>
      </c>
      <c r="G7" s="3">
        <f>SUM('Store(1):Store(5)'!G7)</f>
        <v>89</v>
      </c>
      <c r="H7" s="3">
        <f>SUM('Store(1):Store(5)'!H7)</f>
        <v>139</v>
      </c>
      <c r="I7" s="3">
        <f>SUM('Store(1):Store(5)'!I7)</f>
        <v>137</v>
      </c>
      <c r="J7" s="3">
        <f>SUM('Store(1):Store(5)'!J7)</f>
        <v>133</v>
      </c>
      <c r="K7" s="3">
        <f>SUM('Store(1):Store(5)'!K7)</f>
        <v>125</v>
      </c>
      <c r="L7" s="3">
        <f>SUM('Store(1):Store(5)'!L7)</f>
        <v>121</v>
      </c>
      <c r="M7" s="3">
        <f>SUM('Store(1):Store(5)'!M7)</f>
        <v>119</v>
      </c>
      <c r="N7" s="4">
        <f t="shared" si="0"/>
        <v>1459</v>
      </c>
    </row>
    <row r="8" spans="1:14" ht="18" thickBot="1" x14ac:dyDescent="0.45">
      <c r="A8" s="5" t="s">
        <v>20</v>
      </c>
      <c r="B8" s="3">
        <f>SUM('Store(1):Store(5)'!B8)</f>
        <v>127</v>
      </c>
      <c r="C8" s="3">
        <f>SUM('Store(1):Store(5)'!C8)</f>
        <v>144</v>
      </c>
      <c r="D8" s="3">
        <f>SUM('Store(1):Store(5)'!D8)</f>
        <v>144</v>
      </c>
      <c r="E8" s="3">
        <f>SUM('Store(1):Store(5)'!E8)</f>
        <v>143</v>
      </c>
      <c r="F8" s="3">
        <f>SUM('Store(1):Store(5)'!F8)</f>
        <v>130</v>
      </c>
      <c r="G8" s="3">
        <f>SUM('Store(1):Store(5)'!G8)</f>
        <v>115</v>
      </c>
      <c r="H8" s="3">
        <f>SUM('Store(1):Store(5)'!H8)</f>
        <v>121</v>
      </c>
      <c r="I8" s="3">
        <f>SUM('Store(1):Store(5)'!I8)</f>
        <v>101</v>
      </c>
      <c r="J8" s="3">
        <f>SUM('Store(1):Store(5)'!J8)</f>
        <v>165</v>
      </c>
      <c r="K8" s="3">
        <f>SUM('Store(1):Store(5)'!K8)</f>
        <v>75</v>
      </c>
      <c r="L8" s="3">
        <f>SUM('Store(1):Store(5)'!L8)</f>
        <v>116</v>
      </c>
      <c r="M8" s="3">
        <f>SUM('Store(1):Store(5)'!M8)</f>
        <v>122</v>
      </c>
      <c r="N8" s="6">
        <f t="shared" si="0"/>
        <v>1503</v>
      </c>
    </row>
    <row r="9" spans="1:14" ht="15.75" thickBot="1" x14ac:dyDescent="0.3">
      <c r="A9" s="7" t="s">
        <v>14</v>
      </c>
      <c r="B9" s="8">
        <f t="shared" ref="B9:M9" si="1">SUM(B3:B8)</f>
        <v>757</v>
      </c>
      <c r="C9" s="8">
        <f t="shared" si="1"/>
        <v>895</v>
      </c>
      <c r="D9" s="8">
        <f t="shared" si="1"/>
        <v>703</v>
      </c>
      <c r="E9" s="8">
        <f t="shared" si="1"/>
        <v>699</v>
      </c>
      <c r="F9" s="8">
        <f t="shared" si="1"/>
        <v>675</v>
      </c>
      <c r="G9" s="8">
        <f t="shared" si="1"/>
        <v>512</v>
      </c>
      <c r="H9" s="8">
        <f t="shared" si="1"/>
        <v>773</v>
      </c>
      <c r="I9" s="8">
        <f t="shared" si="1"/>
        <v>730</v>
      </c>
      <c r="J9" s="8">
        <f t="shared" si="1"/>
        <v>769</v>
      </c>
      <c r="K9" s="8">
        <f t="shared" si="1"/>
        <v>858</v>
      </c>
      <c r="L9" s="8">
        <f t="shared" si="1"/>
        <v>784</v>
      </c>
      <c r="M9" s="8">
        <f t="shared" si="1"/>
        <v>678</v>
      </c>
      <c r="N9" s="8">
        <f t="shared" si="0"/>
        <v>8833</v>
      </c>
    </row>
    <row r="10" spans="1:14" ht="15.75" thickTop="1" x14ac:dyDescent="0.25"/>
    <row r="13" spans="1:14" x14ac:dyDescent="0.25">
      <c r="A13" s="11" t="s">
        <v>22</v>
      </c>
    </row>
    <row r="14" spans="1:14" x14ac:dyDescent="0.25">
      <c r="A14" t="s">
        <v>23</v>
      </c>
    </row>
    <row r="15" spans="1:14" x14ac:dyDescent="0.25">
      <c r="A1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F5DA-7027-4F5B-8C8A-7EBC6A87C609}">
  <sheetPr>
    <tabColor rgb="FF0000FF"/>
  </sheetPr>
  <dimension ref="A1:N10"/>
  <sheetViews>
    <sheetView zoomScale="130" zoomScaleNormal="130" workbookViewId="0"/>
  </sheetViews>
  <sheetFormatPr defaultColWidth="9.140625" defaultRowHeight="15" x14ac:dyDescent="0.25"/>
  <cols>
    <col min="1" max="1" width="14.85546875" bestFit="1" customWidth="1"/>
  </cols>
  <sheetData>
    <row r="1" spans="1:14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7.25" x14ac:dyDescent="0.4">
      <c r="A3" s="2" t="s">
        <v>15</v>
      </c>
      <c r="B3" s="9">
        <v>4</v>
      </c>
      <c r="C3" s="9">
        <v>8</v>
      </c>
      <c r="D3" s="9">
        <v>23</v>
      </c>
      <c r="E3" s="9">
        <v>29</v>
      </c>
      <c r="F3" s="9">
        <v>10</v>
      </c>
      <c r="G3" s="9">
        <v>18</v>
      </c>
      <c r="H3" s="9">
        <v>30</v>
      </c>
      <c r="I3" s="9">
        <v>12</v>
      </c>
      <c r="J3" s="9">
        <v>15</v>
      </c>
      <c r="K3" s="9">
        <v>2</v>
      </c>
      <c r="L3" s="9">
        <v>11</v>
      </c>
      <c r="M3" s="9">
        <v>25</v>
      </c>
      <c r="N3" s="4">
        <f t="shared" ref="N3:N9" si="0">SUM(B3:M3)</f>
        <v>187</v>
      </c>
    </row>
    <row r="4" spans="1:14" ht="17.25" x14ac:dyDescent="0.4">
      <c r="A4" s="2" t="s">
        <v>16</v>
      </c>
      <c r="B4" s="9">
        <v>15</v>
      </c>
      <c r="C4" s="9">
        <v>16</v>
      </c>
      <c r="D4" s="9">
        <v>17</v>
      </c>
      <c r="E4" s="9">
        <v>8</v>
      </c>
      <c r="F4" s="9">
        <v>2</v>
      </c>
      <c r="G4" s="9">
        <v>31</v>
      </c>
      <c r="H4" s="9">
        <v>32</v>
      </c>
      <c r="I4" s="9">
        <v>18</v>
      </c>
      <c r="J4" s="9">
        <v>24</v>
      </c>
      <c r="K4" s="9">
        <v>30</v>
      </c>
      <c r="L4" s="9">
        <v>3</v>
      </c>
      <c r="M4" s="9">
        <v>26</v>
      </c>
      <c r="N4" s="4">
        <f t="shared" si="0"/>
        <v>222</v>
      </c>
    </row>
    <row r="5" spans="1:14" ht="17.25" x14ac:dyDescent="0.4">
      <c r="A5" s="2" t="s">
        <v>17</v>
      </c>
      <c r="B5" s="9">
        <v>22</v>
      </c>
      <c r="C5" s="9">
        <v>44</v>
      </c>
      <c r="D5" s="9">
        <v>0</v>
      </c>
      <c r="E5" s="9">
        <v>6</v>
      </c>
      <c r="F5" s="9">
        <v>31</v>
      </c>
      <c r="G5" s="9">
        <v>22</v>
      </c>
      <c r="H5" s="9">
        <v>30</v>
      </c>
      <c r="I5" s="9">
        <v>22</v>
      </c>
      <c r="J5" s="9">
        <v>34</v>
      </c>
      <c r="K5" s="9">
        <v>43</v>
      </c>
      <c r="L5" s="9">
        <v>33</v>
      </c>
      <c r="M5" s="9">
        <v>40</v>
      </c>
      <c r="N5" s="4">
        <f t="shared" si="0"/>
        <v>327</v>
      </c>
    </row>
    <row r="6" spans="1:14" ht="17.25" x14ac:dyDescent="0.4">
      <c r="A6" s="2" t="s">
        <v>18</v>
      </c>
      <c r="B6" s="9">
        <v>39</v>
      </c>
      <c r="C6" s="9">
        <v>37</v>
      </c>
      <c r="D6" s="9">
        <v>0</v>
      </c>
      <c r="E6" s="9">
        <v>24</v>
      </c>
      <c r="F6" s="9">
        <v>17</v>
      </c>
      <c r="G6" s="9">
        <v>22</v>
      </c>
      <c r="H6" s="9">
        <v>0</v>
      </c>
      <c r="I6" s="9">
        <v>29</v>
      </c>
      <c r="J6" s="9">
        <v>31</v>
      </c>
      <c r="K6" s="9">
        <v>6</v>
      </c>
      <c r="L6" s="9">
        <v>29</v>
      </c>
      <c r="M6" s="9">
        <v>17</v>
      </c>
      <c r="N6" s="4">
        <f t="shared" si="0"/>
        <v>251</v>
      </c>
    </row>
    <row r="7" spans="1:14" ht="17.25" x14ac:dyDescent="0.4">
      <c r="A7" s="2" t="s">
        <v>19</v>
      </c>
      <c r="B7" s="9">
        <v>49</v>
      </c>
      <c r="C7" s="9">
        <v>10</v>
      </c>
      <c r="D7" s="9">
        <v>7</v>
      </c>
      <c r="E7" s="9">
        <v>32</v>
      </c>
      <c r="F7" s="9">
        <v>2</v>
      </c>
      <c r="G7" s="9">
        <v>13</v>
      </c>
      <c r="H7" s="9">
        <v>19</v>
      </c>
      <c r="I7" s="9">
        <v>45</v>
      </c>
      <c r="J7" s="9">
        <v>39</v>
      </c>
      <c r="K7" s="9">
        <v>40</v>
      </c>
      <c r="L7" s="9">
        <v>24</v>
      </c>
      <c r="M7" s="9">
        <v>24</v>
      </c>
      <c r="N7" s="4">
        <f t="shared" si="0"/>
        <v>304</v>
      </c>
    </row>
    <row r="8" spans="1:14" ht="18" thickBot="1" x14ac:dyDescent="0.45">
      <c r="A8" s="5" t="s">
        <v>20</v>
      </c>
      <c r="B8" s="10">
        <v>15</v>
      </c>
      <c r="C8" s="10">
        <v>43</v>
      </c>
      <c r="D8" s="10">
        <v>14</v>
      </c>
      <c r="E8" s="10">
        <v>21</v>
      </c>
      <c r="F8" s="10">
        <v>7</v>
      </c>
      <c r="G8" s="10">
        <v>11</v>
      </c>
      <c r="H8" s="10">
        <v>38</v>
      </c>
      <c r="I8" s="10">
        <v>18</v>
      </c>
      <c r="J8" s="10">
        <v>41</v>
      </c>
      <c r="K8" s="10">
        <v>37</v>
      </c>
      <c r="L8" s="10">
        <v>18</v>
      </c>
      <c r="M8" s="10">
        <v>38</v>
      </c>
      <c r="N8" s="6">
        <f t="shared" si="0"/>
        <v>301</v>
      </c>
    </row>
    <row r="9" spans="1:14" ht="15.75" thickBot="1" x14ac:dyDescent="0.3">
      <c r="A9" s="7" t="s">
        <v>14</v>
      </c>
      <c r="B9" s="8">
        <f t="shared" ref="B9:M9" si="1">SUM(B3:B8)</f>
        <v>144</v>
      </c>
      <c r="C9" s="8">
        <f t="shared" si="1"/>
        <v>158</v>
      </c>
      <c r="D9" s="8">
        <f t="shared" si="1"/>
        <v>61</v>
      </c>
      <c r="E9" s="8">
        <f t="shared" si="1"/>
        <v>120</v>
      </c>
      <c r="F9" s="8">
        <f t="shared" si="1"/>
        <v>69</v>
      </c>
      <c r="G9" s="8">
        <f t="shared" si="1"/>
        <v>117</v>
      </c>
      <c r="H9" s="8">
        <f t="shared" si="1"/>
        <v>149</v>
      </c>
      <c r="I9" s="8">
        <f t="shared" si="1"/>
        <v>144</v>
      </c>
      <c r="J9" s="8">
        <f t="shared" si="1"/>
        <v>184</v>
      </c>
      <c r="K9" s="8">
        <f t="shared" si="1"/>
        <v>158</v>
      </c>
      <c r="L9" s="8">
        <f t="shared" si="1"/>
        <v>118</v>
      </c>
      <c r="M9" s="8">
        <f t="shared" si="1"/>
        <v>170</v>
      </c>
      <c r="N9" s="8">
        <f t="shared" si="0"/>
        <v>1592</v>
      </c>
    </row>
    <row r="10" spans="1:14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9F69-D561-4F35-A75D-94A2D8E6BCFC}">
  <sheetPr>
    <tabColor rgb="FF0000FF"/>
  </sheetPr>
  <dimension ref="A1:N10"/>
  <sheetViews>
    <sheetView zoomScale="130" zoomScaleNormal="130" workbookViewId="0"/>
  </sheetViews>
  <sheetFormatPr defaultColWidth="9.140625" defaultRowHeight="15" x14ac:dyDescent="0.25"/>
  <cols>
    <col min="1" max="1" width="14.85546875" bestFit="1" customWidth="1"/>
  </cols>
  <sheetData>
    <row r="1" spans="1:14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7.25" x14ac:dyDescent="0.4">
      <c r="A3" s="2" t="s">
        <v>15</v>
      </c>
      <c r="B3" s="9">
        <v>18</v>
      </c>
      <c r="C3" s="9">
        <v>24</v>
      </c>
      <c r="D3" s="9">
        <v>40</v>
      </c>
      <c r="E3" s="9">
        <v>14</v>
      </c>
      <c r="F3" s="9">
        <v>47</v>
      </c>
      <c r="G3" s="9">
        <v>6</v>
      </c>
      <c r="H3" s="9">
        <v>8</v>
      </c>
      <c r="I3" s="9">
        <v>17</v>
      </c>
      <c r="J3" s="9">
        <v>43</v>
      </c>
      <c r="K3" s="9">
        <v>47</v>
      </c>
      <c r="L3" s="9">
        <v>47</v>
      </c>
      <c r="M3" s="9">
        <v>16</v>
      </c>
      <c r="N3" s="4">
        <f t="shared" ref="N3:N9" si="0">SUM(B3:M3)</f>
        <v>327</v>
      </c>
    </row>
    <row r="4" spans="1:14" ht="17.25" x14ac:dyDescent="0.4">
      <c r="A4" s="2" t="s">
        <v>16</v>
      </c>
      <c r="B4" s="9">
        <v>8</v>
      </c>
      <c r="C4" s="9">
        <v>23</v>
      </c>
      <c r="D4" s="9">
        <v>49</v>
      </c>
      <c r="E4" s="9">
        <v>31</v>
      </c>
      <c r="F4" s="9">
        <v>5</v>
      </c>
      <c r="G4" s="9">
        <v>19</v>
      </c>
      <c r="H4" s="9">
        <v>27</v>
      </c>
      <c r="I4" s="9">
        <v>15</v>
      </c>
      <c r="J4" s="9">
        <v>29</v>
      </c>
      <c r="K4" s="9">
        <v>46</v>
      </c>
      <c r="L4" s="9">
        <v>39</v>
      </c>
      <c r="M4" s="9">
        <v>32</v>
      </c>
      <c r="N4" s="4">
        <f t="shared" si="0"/>
        <v>323</v>
      </c>
    </row>
    <row r="5" spans="1:14" ht="17.25" x14ac:dyDescent="0.4">
      <c r="A5" s="2" t="s">
        <v>17</v>
      </c>
      <c r="B5" s="9">
        <v>2</v>
      </c>
      <c r="C5" s="9">
        <v>46</v>
      </c>
      <c r="D5" s="9">
        <v>32</v>
      </c>
      <c r="E5" s="9">
        <v>48</v>
      </c>
      <c r="F5" s="9">
        <v>15</v>
      </c>
      <c r="G5" s="9">
        <v>14</v>
      </c>
      <c r="H5" s="9">
        <v>4</v>
      </c>
      <c r="I5" s="9">
        <v>25</v>
      </c>
      <c r="J5" s="9">
        <v>44</v>
      </c>
      <c r="K5" s="9">
        <v>15</v>
      </c>
      <c r="L5" s="9">
        <v>33</v>
      </c>
      <c r="M5" s="9">
        <v>8</v>
      </c>
      <c r="N5" s="4">
        <f t="shared" si="0"/>
        <v>286</v>
      </c>
    </row>
    <row r="6" spans="1:14" ht="17.25" x14ac:dyDescent="0.4">
      <c r="A6" s="2" t="s">
        <v>18</v>
      </c>
      <c r="B6" s="9">
        <v>21</v>
      </c>
      <c r="C6" s="9">
        <v>38</v>
      </c>
      <c r="D6" s="9">
        <v>25</v>
      </c>
      <c r="E6" s="9">
        <v>19</v>
      </c>
      <c r="F6" s="9">
        <v>22</v>
      </c>
      <c r="G6" s="9">
        <v>4</v>
      </c>
      <c r="H6" s="9">
        <v>19</v>
      </c>
      <c r="I6" s="9">
        <v>30</v>
      </c>
      <c r="J6" s="9">
        <v>44</v>
      </c>
      <c r="K6" s="9">
        <v>47</v>
      </c>
      <c r="L6" s="9">
        <v>11</v>
      </c>
      <c r="M6" s="9">
        <v>19</v>
      </c>
      <c r="N6" s="4">
        <f t="shared" si="0"/>
        <v>299</v>
      </c>
    </row>
    <row r="7" spans="1:14" ht="17.25" x14ac:dyDescent="0.4">
      <c r="A7" s="2" t="s">
        <v>19</v>
      </c>
      <c r="B7" s="9">
        <v>17</v>
      </c>
      <c r="C7" s="9">
        <v>38</v>
      </c>
      <c r="D7" s="9">
        <v>45</v>
      </c>
      <c r="E7" s="9">
        <v>19</v>
      </c>
      <c r="F7" s="9">
        <v>33</v>
      </c>
      <c r="G7" s="9">
        <v>26</v>
      </c>
      <c r="H7" s="9">
        <v>45</v>
      </c>
      <c r="I7" s="9">
        <v>13</v>
      </c>
      <c r="J7" s="9">
        <v>48</v>
      </c>
      <c r="K7" s="9">
        <v>47</v>
      </c>
      <c r="L7" s="9">
        <v>12</v>
      </c>
      <c r="M7" s="9">
        <v>21</v>
      </c>
      <c r="N7" s="4">
        <f t="shared" si="0"/>
        <v>364</v>
      </c>
    </row>
    <row r="8" spans="1:14" ht="18" thickBot="1" x14ac:dyDescent="0.45">
      <c r="A8" s="5" t="s">
        <v>20</v>
      </c>
      <c r="B8" s="10">
        <v>26</v>
      </c>
      <c r="C8" s="10">
        <v>18</v>
      </c>
      <c r="D8" s="10">
        <v>14</v>
      </c>
      <c r="E8" s="10">
        <v>47</v>
      </c>
      <c r="F8" s="10">
        <v>39</v>
      </c>
      <c r="G8" s="10">
        <v>31</v>
      </c>
      <c r="H8" s="10">
        <v>34</v>
      </c>
      <c r="I8" s="10">
        <v>5</v>
      </c>
      <c r="J8" s="10">
        <v>5</v>
      </c>
      <c r="K8" s="10">
        <v>7</v>
      </c>
      <c r="L8" s="10">
        <v>27</v>
      </c>
      <c r="M8" s="10">
        <v>31</v>
      </c>
      <c r="N8" s="6">
        <f t="shared" si="0"/>
        <v>284</v>
      </c>
    </row>
    <row r="9" spans="1:14" ht="15.75" thickBot="1" x14ac:dyDescent="0.3">
      <c r="A9" s="7" t="s">
        <v>14</v>
      </c>
      <c r="B9" s="8">
        <f t="shared" ref="B9:M9" si="1">SUM(B3:B8)</f>
        <v>92</v>
      </c>
      <c r="C9" s="8">
        <f t="shared" si="1"/>
        <v>187</v>
      </c>
      <c r="D9" s="8">
        <f t="shared" si="1"/>
        <v>205</v>
      </c>
      <c r="E9" s="8">
        <f t="shared" si="1"/>
        <v>178</v>
      </c>
      <c r="F9" s="8">
        <f t="shared" si="1"/>
        <v>161</v>
      </c>
      <c r="G9" s="8">
        <f t="shared" si="1"/>
        <v>100</v>
      </c>
      <c r="H9" s="8">
        <f t="shared" si="1"/>
        <v>137</v>
      </c>
      <c r="I9" s="8">
        <f t="shared" si="1"/>
        <v>105</v>
      </c>
      <c r="J9" s="8">
        <f t="shared" si="1"/>
        <v>213</v>
      </c>
      <c r="K9" s="8">
        <f t="shared" si="1"/>
        <v>209</v>
      </c>
      <c r="L9" s="8">
        <f t="shared" si="1"/>
        <v>169</v>
      </c>
      <c r="M9" s="8">
        <f t="shared" si="1"/>
        <v>127</v>
      </c>
      <c r="N9" s="8">
        <f t="shared" si="0"/>
        <v>1883</v>
      </c>
    </row>
    <row r="10" spans="1:14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761E3-FEE2-4341-859D-CEF9C0FF9D1D}">
  <sheetPr>
    <tabColor rgb="FF0000FF"/>
  </sheetPr>
  <dimension ref="A1:N10"/>
  <sheetViews>
    <sheetView zoomScale="130" zoomScaleNormal="130" workbookViewId="0"/>
  </sheetViews>
  <sheetFormatPr defaultColWidth="9.140625" defaultRowHeight="15" x14ac:dyDescent="0.25"/>
  <cols>
    <col min="1" max="1" width="14.85546875" bestFit="1" customWidth="1"/>
  </cols>
  <sheetData>
    <row r="1" spans="1:14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7.25" x14ac:dyDescent="0.4">
      <c r="A3" s="2" t="s">
        <v>15</v>
      </c>
      <c r="B3" s="9">
        <v>11</v>
      </c>
      <c r="C3" s="9">
        <v>48</v>
      </c>
      <c r="D3" s="9">
        <v>4</v>
      </c>
      <c r="E3" s="9">
        <v>12</v>
      </c>
      <c r="F3" s="9">
        <v>4</v>
      </c>
      <c r="G3" s="9">
        <v>31</v>
      </c>
      <c r="H3" s="9">
        <v>41</v>
      </c>
      <c r="I3" s="9">
        <v>22</v>
      </c>
      <c r="J3" s="9">
        <v>32</v>
      </c>
      <c r="K3" s="9">
        <v>41</v>
      </c>
      <c r="L3" s="9">
        <v>20</v>
      </c>
      <c r="M3" s="9">
        <v>26</v>
      </c>
      <c r="N3" s="4">
        <f t="shared" ref="N3:N9" si="0">SUM(B3:M3)</f>
        <v>292</v>
      </c>
    </row>
    <row r="4" spans="1:14" ht="17.25" x14ac:dyDescent="0.4">
      <c r="A4" s="2" t="s">
        <v>16</v>
      </c>
      <c r="B4" s="9">
        <v>3</v>
      </c>
      <c r="C4" s="9">
        <v>43</v>
      </c>
      <c r="D4" s="9">
        <v>26</v>
      </c>
      <c r="E4" s="9">
        <v>19</v>
      </c>
      <c r="F4" s="9">
        <v>38</v>
      </c>
      <c r="G4" s="9">
        <v>24</v>
      </c>
      <c r="H4" s="9">
        <v>32</v>
      </c>
      <c r="I4" s="9">
        <v>46</v>
      </c>
      <c r="J4" s="9">
        <v>36</v>
      </c>
      <c r="K4" s="9">
        <v>26</v>
      </c>
      <c r="L4" s="9">
        <v>46</v>
      </c>
      <c r="M4" s="9">
        <v>49</v>
      </c>
      <c r="N4" s="4">
        <f t="shared" si="0"/>
        <v>388</v>
      </c>
    </row>
    <row r="5" spans="1:14" ht="17.25" x14ac:dyDescent="0.4">
      <c r="A5" s="2" t="s">
        <v>17</v>
      </c>
      <c r="B5" s="9">
        <v>34</v>
      </c>
      <c r="C5" s="9">
        <v>23</v>
      </c>
      <c r="D5" s="9">
        <v>46</v>
      </c>
      <c r="E5" s="9">
        <v>34</v>
      </c>
      <c r="F5" s="9">
        <v>49</v>
      </c>
      <c r="G5" s="9">
        <v>12</v>
      </c>
      <c r="H5" s="9">
        <v>40</v>
      </c>
      <c r="I5" s="9">
        <v>17</v>
      </c>
      <c r="J5" s="9">
        <v>4</v>
      </c>
      <c r="K5" s="9">
        <v>32</v>
      </c>
      <c r="L5" s="9">
        <v>44</v>
      </c>
      <c r="M5" s="9">
        <v>30</v>
      </c>
      <c r="N5" s="4">
        <f t="shared" si="0"/>
        <v>365</v>
      </c>
    </row>
    <row r="6" spans="1:14" ht="17.25" x14ac:dyDescent="0.4">
      <c r="A6" s="2" t="s">
        <v>18</v>
      </c>
      <c r="B6" s="9">
        <v>8</v>
      </c>
      <c r="C6" s="9">
        <v>25</v>
      </c>
      <c r="D6" s="9">
        <v>13</v>
      </c>
      <c r="E6" s="9">
        <v>42</v>
      </c>
      <c r="F6" s="9">
        <v>36</v>
      </c>
      <c r="G6" s="9">
        <v>10</v>
      </c>
      <c r="H6" s="9">
        <v>38</v>
      </c>
      <c r="I6" s="9">
        <v>27</v>
      </c>
      <c r="J6" s="9">
        <v>15</v>
      </c>
      <c r="K6" s="9">
        <v>47</v>
      </c>
      <c r="L6" s="9">
        <v>7</v>
      </c>
      <c r="M6" s="9">
        <v>44</v>
      </c>
      <c r="N6" s="4">
        <f t="shared" si="0"/>
        <v>312</v>
      </c>
    </row>
    <row r="7" spans="1:14" ht="17.25" x14ac:dyDescent="0.4">
      <c r="A7" s="2" t="s">
        <v>19</v>
      </c>
      <c r="B7" s="9">
        <v>28</v>
      </c>
      <c r="C7" s="9">
        <v>3</v>
      </c>
      <c r="D7" s="9">
        <v>5</v>
      </c>
      <c r="E7" s="9">
        <v>40</v>
      </c>
      <c r="F7" s="9">
        <v>24</v>
      </c>
      <c r="G7" s="9">
        <v>15</v>
      </c>
      <c r="H7" s="9">
        <v>17</v>
      </c>
      <c r="I7" s="9">
        <v>12</v>
      </c>
      <c r="J7" s="9">
        <v>36</v>
      </c>
      <c r="K7" s="9">
        <v>3</v>
      </c>
      <c r="L7" s="9">
        <v>7</v>
      </c>
      <c r="M7" s="9">
        <v>27</v>
      </c>
      <c r="N7" s="4">
        <f t="shared" si="0"/>
        <v>217</v>
      </c>
    </row>
    <row r="8" spans="1:14" ht="18" thickBot="1" x14ac:dyDescent="0.45">
      <c r="A8" s="5" t="s">
        <v>20</v>
      </c>
      <c r="B8" s="10">
        <v>2</v>
      </c>
      <c r="C8" s="10">
        <v>28</v>
      </c>
      <c r="D8" s="10">
        <v>38</v>
      </c>
      <c r="E8" s="10">
        <v>47</v>
      </c>
      <c r="F8" s="10">
        <v>1</v>
      </c>
      <c r="G8" s="10">
        <v>6</v>
      </c>
      <c r="H8" s="10">
        <v>11</v>
      </c>
      <c r="I8" s="10">
        <v>27</v>
      </c>
      <c r="J8" s="10">
        <v>40</v>
      </c>
      <c r="K8" s="10">
        <v>22</v>
      </c>
      <c r="L8" s="10">
        <v>6</v>
      </c>
      <c r="M8" s="10">
        <v>24</v>
      </c>
      <c r="N8" s="6">
        <f t="shared" si="0"/>
        <v>252</v>
      </c>
    </row>
    <row r="9" spans="1:14" ht="15.75" thickBot="1" x14ac:dyDescent="0.3">
      <c r="A9" s="7" t="s">
        <v>14</v>
      </c>
      <c r="B9" s="8">
        <f t="shared" ref="B9:M9" si="1">SUM(B3:B8)</f>
        <v>86</v>
      </c>
      <c r="C9" s="8">
        <f t="shared" si="1"/>
        <v>170</v>
      </c>
      <c r="D9" s="8">
        <f t="shared" si="1"/>
        <v>132</v>
      </c>
      <c r="E9" s="8">
        <f t="shared" si="1"/>
        <v>194</v>
      </c>
      <c r="F9" s="8">
        <f t="shared" si="1"/>
        <v>152</v>
      </c>
      <c r="G9" s="8">
        <f t="shared" si="1"/>
        <v>98</v>
      </c>
      <c r="H9" s="8">
        <f t="shared" si="1"/>
        <v>179</v>
      </c>
      <c r="I9" s="8">
        <f t="shared" si="1"/>
        <v>151</v>
      </c>
      <c r="J9" s="8">
        <f t="shared" si="1"/>
        <v>163</v>
      </c>
      <c r="K9" s="8">
        <f t="shared" si="1"/>
        <v>171</v>
      </c>
      <c r="L9" s="8">
        <f t="shared" si="1"/>
        <v>130</v>
      </c>
      <c r="M9" s="8">
        <f t="shared" si="1"/>
        <v>200</v>
      </c>
      <c r="N9" s="8">
        <f t="shared" si="0"/>
        <v>1826</v>
      </c>
    </row>
    <row r="10" spans="1:14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ECFE-F61C-48D3-B218-9A1E4E538D51}">
  <sheetPr>
    <tabColor rgb="FF0000FF"/>
  </sheetPr>
  <dimension ref="A1:N10"/>
  <sheetViews>
    <sheetView zoomScale="130" zoomScaleNormal="130" workbookViewId="0"/>
  </sheetViews>
  <sheetFormatPr defaultColWidth="9.140625" defaultRowHeight="15" x14ac:dyDescent="0.25"/>
  <cols>
    <col min="1" max="1" width="14.85546875" bestFit="1" customWidth="1"/>
  </cols>
  <sheetData>
    <row r="1" spans="1:14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7.25" x14ac:dyDescent="0.4">
      <c r="A3" s="2" t="s">
        <v>15</v>
      </c>
      <c r="B3" s="9">
        <v>8</v>
      </c>
      <c r="C3" s="9">
        <v>31</v>
      </c>
      <c r="D3" s="9">
        <v>4</v>
      </c>
      <c r="E3" s="9">
        <v>9</v>
      </c>
      <c r="F3" s="9">
        <v>37</v>
      </c>
      <c r="G3" s="9">
        <v>6</v>
      </c>
      <c r="H3" s="9">
        <v>20</v>
      </c>
      <c r="I3" s="9">
        <v>9</v>
      </c>
      <c r="J3" s="9">
        <v>19</v>
      </c>
      <c r="K3" s="9">
        <v>45</v>
      </c>
      <c r="L3" s="9">
        <v>33</v>
      </c>
      <c r="M3" s="9">
        <v>48</v>
      </c>
      <c r="N3" s="4">
        <f t="shared" ref="N3:N9" si="0">SUM(B3:M3)</f>
        <v>269</v>
      </c>
    </row>
    <row r="4" spans="1:14" ht="17.25" x14ac:dyDescent="0.4">
      <c r="A4" s="2" t="s">
        <v>16</v>
      </c>
      <c r="B4" s="9">
        <v>36</v>
      </c>
      <c r="C4" s="9">
        <v>43</v>
      </c>
      <c r="D4" s="9">
        <v>8</v>
      </c>
      <c r="E4" s="9">
        <v>0</v>
      </c>
      <c r="F4" s="9">
        <v>40</v>
      </c>
      <c r="G4" s="9">
        <v>1</v>
      </c>
      <c r="H4" s="9">
        <v>44</v>
      </c>
      <c r="I4" s="9">
        <v>30</v>
      </c>
      <c r="J4" s="9">
        <v>17</v>
      </c>
      <c r="K4" s="9">
        <v>49</v>
      </c>
      <c r="L4" s="9">
        <v>20</v>
      </c>
      <c r="M4" s="9">
        <v>8</v>
      </c>
      <c r="N4" s="4">
        <f t="shared" si="0"/>
        <v>296</v>
      </c>
    </row>
    <row r="5" spans="1:14" ht="17.25" x14ac:dyDescent="0.4">
      <c r="A5" s="2" t="s">
        <v>17</v>
      </c>
      <c r="B5" s="9">
        <v>49</v>
      </c>
      <c r="C5" s="9">
        <v>26</v>
      </c>
      <c r="D5" s="9">
        <v>0</v>
      </c>
      <c r="E5" s="9">
        <v>16</v>
      </c>
      <c r="F5" s="9">
        <v>0</v>
      </c>
      <c r="G5" s="9">
        <v>13</v>
      </c>
      <c r="H5" s="9">
        <v>22</v>
      </c>
      <c r="I5" s="9">
        <v>44</v>
      </c>
      <c r="J5" s="9">
        <v>8</v>
      </c>
      <c r="K5" s="9">
        <v>46</v>
      </c>
      <c r="L5" s="9">
        <v>27</v>
      </c>
      <c r="M5" s="9">
        <v>11</v>
      </c>
      <c r="N5" s="4">
        <f t="shared" si="0"/>
        <v>262</v>
      </c>
    </row>
    <row r="6" spans="1:14" ht="17.25" x14ac:dyDescent="0.4">
      <c r="A6" s="2" t="s">
        <v>18</v>
      </c>
      <c r="B6" s="9">
        <v>30</v>
      </c>
      <c r="C6" s="9">
        <v>33</v>
      </c>
      <c r="D6" s="9">
        <v>14</v>
      </c>
      <c r="E6" s="9">
        <v>21</v>
      </c>
      <c r="F6" s="9">
        <v>13</v>
      </c>
      <c r="G6" s="9">
        <v>7</v>
      </c>
      <c r="H6" s="9">
        <v>0</v>
      </c>
      <c r="I6" s="9">
        <v>29</v>
      </c>
      <c r="J6" s="9">
        <v>6</v>
      </c>
      <c r="K6" s="9">
        <v>32</v>
      </c>
      <c r="L6" s="9">
        <v>46</v>
      </c>
      <c r="M6" s="9">
        <v>15</v>
      </c>
      <c r="N6" s="4">
        <f t="shared" si="0"/>
        <v>246</v>
      </c>
    </row>
    <row r="7" spans="1:14" ht="17.25" x14ac:dyDescent="0.4">
      <c r="A7" s="2" t="s">
        <v>19</v>
      </c>
      <c r="B7" s="9">
        <v>42</v>
      </c>
      <c r="C7" s="9">
        <v>12</v>
      </c>
      <c r="D7" s="9">
        <v>12</v>
      </c>
      <c r="E7" s="9">
        <v>6</v>
      </c>
      <c r="F7" s="9">
        <v>3</v>
      </c>
      <c r="G7" s="9">
        <v>17</v>
      </c>
      <c r="H7" s="9">
        <v>18</v>
      </c>
      <c r="I7" s="9">
        <v>31</v>
      </c>
      <c r="J7" s="9">
        <v>7</v>
      </c>
      <c r="K7" s="9">
        <v>12</v>
      </c>
      <c r="L7" s="9">
        <v>39</v>
      </c>
      <c r="M7" s="9">
        <v>27</v>
      </c>
      <c r="N7" s="4">
        <f t="shared" si="0"/>
        <v>226</v>
      </c>
    </row>
    <row r="8" spans="1:14" ht="18" thickBot="1" x14ac:dyDescent="0.45">
      <c r="A8" s="5" t="s">
        <v>20</v>
      </c>
      <c r="B8" s="10">
        <v>46</v>
      </c>
      <c r="C8" s="10">
        <v>44</v>
      </c>
      <c r="D8" s="10">
        <v>46</v>
      </c>
      <c r="E8" s="10">
        <v>14</v>
      </c>
      <c r="F8" s="10">
        <v>46</v>
      </c>
      <c r="G8" s="10">
        <v>19</v>
      </c>
      <c r="H8" s="10">
        <v>17</v>
      </c>
      <c r="I8" s="10">
        <v>14</v>
      </c>
      <c r="J8" s="10">
        <v>37</v>
      </c>
      <c r="K8" s="10">
        <v>3</v>
      </c>
      <c r="L8" s="10">
        <v>43</v>
      </c>
      <c r="M8" s="10">
        <v>0</v>
      </c>
      <c r="N8" s="6">
        <f t="shared" si="0"/>
        <v>329</v>
      </c>
    </row>
    <row r="9" spans="1:14" ht="15.75" thickBot="1" x14ac:dyDescent="0.3">
      <c r="A9" s="7" t="s">
        <v>14</v>
      </c>
      <c r="B9" s="8">
        <f t="shared" ref="B9:M9" si="1">SUM(B3:B8)</f>
        <v>211</v>
      </c>
      <c r="C9" s="8">
        <f t="shared" si="1"/>
        <v>189</v>
      </c>
      <c r="D9" s="8">
        <f t="shared" si="1"/>
        <v>84</v>
      </c>
      <c r="E9" s="8">
        <f t="shared" si="1"/>
        <v>66</v>
      </c>
      <c r="F9" s="8">
        <f t="shared" si="1"/>
        <v>139</v>
      </c>
      <c r="G9" s="8">
        <f t="shared" si="1"/>
        <v>63</v>
      </c>
      <c r="H9" s="8">
        <f t="shared" si="1"/>
        <v>121</v>
      </c>
      <c r="I9" s="8">
        <f t="shared" si="1"/>
        <v>157</v>
      </c>
      <c r="J9" s="8">
        <f t="shared" si="1"/>
        <v>94</v>
      </c>
      <c r="K9" s="8">
        <f t="shared" si="1"/>
        <v>187</v>
      </c>
      <c r="L9" s="8">
        <f t="shared" si="1"/>
        <v>208</v>
      </c>
      <c r="M9" s="8">
        <f t="shared" si="1"/>
        <v>109</v>
      </c>
      <c r="N9" s="8">
        <f t="shared" si="0"/>
        <v>1628</v>
      </c>
    </row>
    <row r="10" spans="1:14" ht="15.75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F4A8-D9B0-466B-A7C3-0FF6DACBCFF5}">
  <sheetPr>
    <tabColor rgb="FF0000FF"/>
  </sheetPr>
  <dimension ref="A1:N10"/>
  <sheetViews>
    <sheetView zoomScale="130" zoomScaleNormal="130" workbookViewId="0"/>
  </sheetViews>
  <sheetFormatPr defaultColWidth="9.140625" defaultRowHeight="15" x14ac:dyDescent="0.25"/>
  <cols>
    <col min="1" max="1" width="17.85546875" bestFit="1" customWidth="1"/>
  </cols>
  <sheetData>
    <row r="1" spans="1:14" x14ac:dyDescent="0.25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7.25" x14ac:dyDescent="0.4">
      <c r="A3" s="2" t="s">
        <v>15</v>
      </c>
      <c r="B3" s="9">
        <v>30</v>
      </c>
      <c r="C3" s="9">
        <v>47</v>
      </c>
      <c r="D3" s="9">
        <v>43</v>
      </c>
      <c r="E3" s="9">
        <v>32</v>
      </c>
      <c r="F3" s="9">
        <v>44</v>
      </c>
      <c r="G3" s="9">
        <v>1</v>
      </c>
      <c r="H3" s="9">
        <v>13</v>
      </c>
      <c r="I3" s="9">
        <v>43</v>
      </c>
      <c r="J3" s="9">
        <v>5</v>
      </c>
      <c r="K3" s="9">
        <v>5</v>
      </c>
      <c r="L3" s="9">
        <v>4</v>
      </c>
      <c r="M3" s="9">
        <v>0</v>
      </c>
      <c r="N3" s="4">
        <f t="shared" ref="N3:N9" si="0">SUM(B3:M3)</f>
        <v>267</v>
      </c>
    </row>
    <row r="4" spans="1:14" ht="17.25" x14ac:dyDescent="0.4">
      <c r="A4" s="2" t="s">
        <v>16</v>
      </c>
      <c r="B4" s="9">
        <v>47</v>
      </c>
      <c r="C4" s="9">
        <v>36</v>
      </c>
      <c r="D4" s="9">
        <v>47</v>
      </c>
      <c r="E4" s="9">
        <v>21</v>
      </c>
      <c r="F4" s="9">
        <v>12</v>
      </c>
      <c r="G4" s="9">
        <v>34</v>
      </c>
      <c r="H4" s="9">
        <v>49</v>
      </c>
      <c r="I4" s="9">
        <v>5</v>
      </c>
      <c r="J4" s="9">
        <v>4</v>
      </c>
      <c r="K4" s="9">
        <v>17</v>
      </c>
      <c r="L4" s="9">
        <v>38</v>
      </c>
      <c r="M4" s="9">
        <v>17</v>
      </c>
      <c r="N4" s="4">
        <f t="shared" si="0"/>
        <v>327</v>
      </c>
    </row>
    <row r="5" spans="1:14" ht="17.25" x14ac:dyDescent="0.4">
      <c r="A5" s="2" t="s">
        <v>17</v>
      </c>
      <c r="B5" s="9">
        <v>36</v>
      </c>
      <c r="C5" s="9">
        <v>42</v>
      </c>
      <c r="D5" s="9">
        <v>18</v>
      </c>
      <c r="E5" s="9">
        <v>34</v>
      </c>
      <c r="F5" s="9">
        <v>20</v>
      </c>
      <c r="G5" s="9">
        <v>27</v>
      </c>
      <c r="H5" s="9">
        <v>15</v>
      </c>
      <c r="I5" s="9">
        <v>47</v>
      </c>
      <c r="J5" s="9">
        <v>45</v>
      </c>
      <c r="K5" s="9">
        <v>43</v>
      </c>
      <c r="L5" s="9">
        <v>19</v>
      </c>
      <c r="M5" s="9">
        <v>0</v>
      </c>
      <c r="N5" s="4">
        <f t="shared" si="0"/>
        <v>346</v>
      </c>
    </row>
    <row r="6" spans="1:14" ht="17.25" x14ac:dyDescent="0.4">
      <c r="A6" s="2" t="s">
        <v>18</v>
      </c>
      <c r="B6" s="9">
        <v>38</v>
      </c>
      <c r="C6" s="9">
        <v>22</v>
      </c>
      <c r="D6" s="9">
        <v>37</v>
      </c>
      <c r="E6" s="9">
        <v>14</v>
      </c>
      <c r="F6" s="9">
        <v>10</v>
      </c>
      <c r="G6" s="9">
        <v>6</v>
      </c>
      <c r="H6" s="9">
        <v>49</v>
      </c>
      <c r="I6" s="9">
        <v>5</v>
      </c>
      <c r="J6" s="9">
        <v>16</v>
      </c>
      <c r="K6" s="9">
        <v>39</v>
      </c>
      <c r="L6" s="9">
        <v>37</v>
      </c>
      <c r="M6" s="9">
        <v>6</v>
      </c>
      <c r="N6" s="4">
        <f t="shared" si="0"/>
        <v>279</v>
      </c>
    </row>
    <row r="7" spans="1:14" ht="17.25" x14ac:dyDescent="0.4">
      <c r="A7" s="2" t="s">
        <v>19</v>
      </c>
      <c r="B7" s="9">
        <v>35</v>
      </c>
      <c r="C7" s="9">
        <v>33</v>
      </c>
      <c r="D7" s="9">
        <v>44</v>
      </c>
      <c r="E7" s="9">
        <v>26</v>
      </c>
      <c r="F7" s="9">
        <v>31</v>
      </c>
      <c r="G7" s="9">
        <v>18</v>
      </c>
      <c r="H7" s="9">
        <v>40</v>
      </c>
      <c r="I7" s="9">
        <v>36</v>
      </c>
      <c r="J7" s="9">
        <v>3</v>
      </c>
      <c r="K7" s="9">
        <v>23</v>
      </c>
      <c r="L7" s="9">
        <v>39</v>
      </c>
      <c r="M7" s="9">
        <v>20</v>
      </c>
      <c r="N7" s="4">
        <f t="shared" si="0"/>
        <v>348</v>
      </c>
    </row>
    <row r="8" spans="1:14" ht="18" thickBot="1" x14ac:dyDescent="0.45">
      <c r="A8" s="5" t="s">
        <v>20</v>
      </c>
      <c r="B8" s="10">
        <v>38</v>
      </c>
      <c r="C8" s="10">
        <v>11</v>
      </c>
      <c r="D8" s="10">
        <v>32</v>
      </c>
      <c r="E8" s="10">
        <v>14</v>
      </c>
      <c r="F8" s="10">
        <v>37</v>
      </c>
      <c r="G8" s="10">
        <v>48</v>
      </c>
      <c r="H8" s="10">
        <v>21</v>
      </c>
      <c r="I8" s="10">
        <v>37</v>
      </c>
      <c r="J8" s="10">
        <v>42</v>
      </c>
      <c r="K8" s="10">
        <v>6</v>
      </c>
      <c r="L8" s="10">
        <v>22</v>
      </c>
      <c r="M8" s="10">
        <v>29</v>
      </c>
      <c r="N8" s="6">
        <f t="shared" si="0"/>
        <v>337</v>
      </c>
    </row>
    <row r="9" spans="1:14" ht="15.75" thickBot="1" x14ac:dyDescent="0.3">
      <c r="A9" s="7" t="s">
        <v>14</v>
      </c>
      <c r="B9" s="8">
        <f t="shared" ref="B9:M9" si="1">SUM(B3:B8)</f>
        <v>224</v>
      </c>
      <c r="C9" s="8">
        <f t="shared" si="1"/>
        <v>191</v>
      </c>
      <c r="D9" s="8">
        <f t="shared" si="1"/>
        <v>221</v>
      </c>
      <c r="E9" s="8">
        <f t="shared" si="1"/>
        <v>141</v>
      </c>
      <c r="F9" s="8">
        <f t="shared" si="1"/>
        <v>154</v>
      </c>
      <c r="G9" s="8">
        <f t="shared" si="1"/>
        <v>134</v>
      </c>
      <c r="H9" s="8">
        <f t="shared" si="1"/>
        <v>187</v>
      </c>
      <c r="I9" s="8">
        <f t="shared" si="1"/>
        <v>173</v>
      </c>
      <c r="J9" s="8">
        <f t="shared" si="1"/>
        <v>115</v>
      </c>
      <c r="K9" s="8">
        <f t="shared" si="1"/>
        <v>133</v>
      </c>
      <c r="L9" s="8">
        <f t="shared" si="1"/>
        <v>159</v>
      </c>
      <c r="M9" s="8">
        <f t="shared" si="1"/>
        <v>72</v>
      </c>
      <c r="N9" s="8">
        <f t="shared" si="0"/>
        <v>1904</v>
      </c>
    </row>
    <row r="10" spans="1:14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3-DReference</vt:lpstr>
      <vt:lpstr>Store(1)</vt:lpstr>
      <vt:lpstr>Store(2)</vt:lpstr>
      <vt:lpstr>Store(3)</vt:lpstr>
      <vt:lpstr>Store(4)</vt:lpstr>
      <vt:lpstr>Store(5)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cp:lastModifiedBy>Wajiha Noor</cp:lastModifiedBy>
  <dcterms:created xsi:type="dcterms:W3CDTF">2010-05-19T16:56:33Z</dcterms:created>
  <dcterms:modified xsi:type="dcterms:W3CDTF">2026-04-26T13:26:45Z</dcterms:modified>
</cp:coreProperties>
</file>